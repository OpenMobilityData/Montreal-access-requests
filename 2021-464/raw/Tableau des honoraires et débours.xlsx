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19425" windowHeight="10425"/>
  </bookViews>
  <sheets>
    <sheet name="Montgomery" sheetId="4" r:id="rId1"/>
  </sheets>
  <calcPr calcId="191029"/>
</workbook>
</file>

<file path=xl/calcChain.xml><?xml version="1.0" encoding="utf-8"?>
<calcChain xmlns="http://schemas.openxmlformats.org/spreadsheetml/2006/main">
  <c r="D102" i="4"/>
  <c r="D30"/>
  <c r="C30"/>
  <c r="C61"/>
  <c r="B65"/>
  <c r="D61"/>
  <c r="B66"/>
  <c r="G30"/>
  <c r="F30"/>
  <c r="C32"/>
  <c r="C33"/>
</calcChain>
</file>

<file path=xl/sharedStrings.xml><?xml version="1.0" encoding="utf-8"?>
<sst xmlns="http://schemas.openxmlformats.org/spreadsheetml/2006/main" count="96" uniqueCount="71">
  <si>
    <t xml:space="preserve">Me Marie Paul Hus </t>
  </si>
  <si>
    <t xml:space="preserve">Me Francis Meloche </t>
  </si>
  <si>
    <t>Me Frédéric Legendre</t>
  </si>
  <si>
    <t>Me Valéry Kovalenko</t>
  </si>
  <si>
    <t>Ville de Montréal &amp; CMQ c. Sue Montgomery</t>
  </si>
  <si>
    <t>Heures</t>
  </si>
  <si>
    <t>Honoraires</t>
  </si>
  <si>
    <t>08-04-2020</t>
  </si>
  <si>
    <t>30-04-2020</t>
  </si>
  <si>
    <t>01-06-2020</t>
  </si>
  <si>
    <t>01-07-2020</t>
  </si>
  <si>
    <t>01-08-2020</t>
  </si>
  <si>
    <t>Me Éric Olivier</t>
  </si>
  <si>
    <t>Barreau</t>
  </si>
  <si>
    <t>Taux horaire</t>
  </si>
  <si>
    <t xml:space="preserve"> Avocats Municonseil</t>
  </si>
  <si>
    <t>Factures CMQ</t>
  </si>
  <si>
    <t>sous-total</t>
  </si>
  <si>
    <t>Total heures</t>
  </si>
  <si>
    <t>Total des honoraires</t>
  </si>
  <si>
    <t>Numéro de factures</t>
  </si>
  <si>
    <t>31-05-2020</t>
  </si>
  <si>
    <t>30-06-2020</t>
  </si>
  <si>
    <t>Total des heures</t>
  </si>
  <si>
    <t>DHC</t>
  </si>
  <si>
    <t>Municonseil</t>
  </si>
  <si>
    <t>01-10-2020</t>
  </si>
  <si>
    <t>31-03-2020</t>
  </si>
  <si>
    <t>30-04-2021</t>
  </si>
  <si>
    <t>31-07-2020</t>
  </si>
  <si>
    <t>12023 madamus</t>
  </si>
  <si>
    <t>Injonction-CMQ</t>
  </si>
  <si>
    <t>Sue Montgomery</t>
  </si>
  <si>
    <t>1-06-2022</t>
  </si>
  <si>
    <t>1-04-2021</t>
  </si>
  <si>
    <t>26-04-2021</t>
  </si>
  <si>
    <t>1-12-2021</t>
  </si>
  <si>
    <t>1-01-2021</t>
  </si>
  <si>
    <t>2-08-2021</t>
  </si>
  <si>
    <t>déboursés 5000</t>
  </si>
  <si>
    <t>Sténo</t>
  </si>
  <si>
    <t xml:space="preserve"> Avocats DHC</t>
  </si>
  <si>
    <t>Me Louis Béland</t>
  </si>
  <si>
    <t>Me  Sandra daudelin</t>
  </si>
  <si>
    <t>Me Simon Frenette</t>
  </si>
  <si>
    <t>Me Jean François Martin</t>
  </si>
  <si>
    <t>Me Catherine Dufresne</t>
  </si>
  <si>
    <t>Me Raphaël Lescop</t>
  </si>
  <si>
    <t>Me  Eleni Yanosvski</t>
  </si>
  <si>
    <t>Me Johanna Mortreux</t>
  </si>
  <si>
    <t>Me Christine Makar</t>
  </si>
  <si>
    <t xml:space="preserve"> Avocats IMK</t>
  </si>
  <si>
    <t>Pourvoi en contrôle judiciaire et ordonnance de sauvegarde</t>
  </si>
  <si>
    <t>500-17-114125-209</t>
  </si>
  <si>
    <t>30-11-2020</t>
  </si>
  <si>
    <t>31-12-2020</t>
  </si>
  <si>
    <t>29-01-2021</t>
  </si>
  <si>
    <t>26-02-2021</t>
  </si>
  <si>
    <t>31-03-2021</t>
  </si>
  <si>
    <t>31-05-2021</t>
  </si>
  <si>
    <t>30-06-2021</t>
  </si>
  <si>
    <t>31-07-2021</t>
  </si>
  <si>
    <t>débours taxable</t>
  </si>
  <si>
    <t>timbre judiciaire</t>
  </si>
  <si>
    <t>Facture</t>
  </si>
  <si>
    <t>Montant</t>
  </si>
  <si>
    <t>IMK</t>
  </si>
  <si>
    <t>Recours en dommages et intérêts</t>
  </si>
  <si>
    <t>500-17-117103-211</t>
  </si>
  <si>
    <t>500-17-111893-205</t>
  </si>
  <si>
    <t>Les montants sont avant les taxes</t>
  </si>
</sst>
</file>

<file path=xl/styles.xml><?xml version="1.0" encoding="utf-8"?>
<styleSheet xmlns="http://schemas.openxmlformats.org/spreadsheetml/2006/main">
  <numFmts count="6">
    <numFmt numFmtId="6" formatCode="#,##0\ &quot;$&quot;_);[Red]\(#,##0\ &quot;$&quot;\)"/>
    <numFmt numFmtId="44" formatCode="_ * #,##0.00_)\ &quot;$&quot;_ ;_ * \(#,##0.00\)\ &quot;$&quot;_ ;_ * &quot;-&quot;??_)\ &quot;$&quot;_ ;_ @_ "/>
    <numFmt numFmtId="164" formatCode="[h]:m"/>
    <numFmt numFmtId="165" formatCode="h&quot; h &quot;mm"/>
    <numFmt numFmtId="166" formatCode="#,##0.00\ &quot;$&quot;"/>
    <numFmt numFmtId="167" formatCode="_(&quot;$&quot;* #,##0.00_);_(&quot;$&quot;* \(#,##0.00\);_(&quot;$&quot;* &quot;-&quot;??_);_(@_)"/>
  </numFmts>
  <fonts count="16">
    <font>
      <sz val="10"/>
      <color rgb="FF000000"/>
      <name val="Arial"/>
    </font>
    <font>
      <sz val="10"/>
      <color indexed="8"/>
      <name val="Arial"/>
    </font>
    <font>
      <sz val="10"/>
      <name val="Arial"/>
    </font>
    <font>
      <b/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indexed="12"/>
      <name val="Arial"/>
      <family val="2"/>
    </font>
    <font>
      <i/>
      <sz val="8"/>
      <name val="Arial"/>
      <family val="2"/>
    </font>
    <font>
      <b/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45">
    <xf numFmtId="0" fontId="0" fillId="0" borderId="0" xfId="0" applyFont="1" applyAlignment="1"/>
    <xf numFmtId="0" fontId="1" fillId="0" borderId="0" xfId="0" applyFont="1" applyAlignment="1">
      <alignment vertical="center"/>
    </xf>
    <xf numFmtId="44" fontId="1" fillId="0" borderId="1" xfId="0" applyNumberFormat="1" applyFont="1" applyBorder="1" applyAlignment="1"/>
    <xf numFmtId="44" fontId="1" fillId="0" borderId="2" xfId="0" applyNumberFormat="1" applyFont="1" applyBorder="1" applyAlignment="1"/>
    <xf numFmtId="0" fontId="1" fillId="0" borderId="0" xfId="0" applyFont="1" applyAlignment="1"/>
    <xf numFmtId="0" fontId="3" fillId="0" borderId="0" xfId="0" applyFont="1" applyAlignment="1"/>
    <xf numFmtId="164" fontId="1" fillId="0" borderId="0" xfId="0" applyNumberFormat="1" applyFont="1" applyAlignment="1"/>
    <xf numFmtId="20" fontId="1" fillId="0" borderId="0" xfId="0" applyNumberFormat="1" applyFont="1" applyAlignment="1"/>
    <xf numFmtId="165" fontId="1" fillId="0" borderId="0" xfId="0" applyNumberFormat="1" applyFont="1" applyAlignment="1"/>
    <xf numFmtId="0" fontId="0" fillId="0" borderId="0" xfId="0" applyAlignment="1"/>
    <xf numFmtId="0" fontId="1" fillId="0" borderId="3" xfId="0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 vertical="center"/>
    </xf>
    <xf numFmtId="44" fontId="4" fillId="0" borderId="4" xfId="0" applyNumberFormat="1" applyFont="1" applyBorder="1" applyAlignment="1"/>
    <xf numFmtId="44" fontId="4" fillId="0" borderId="5" xfId="0" applyNumberFormat="1" applyFont="1" applyBorder="1" applyAlignment="1"/>
    <xf numFmtId="0" fontId="0" fillId="0" borderId="6" xfId="0" applyBorder="1" applyAlignment="1"/>
    <xf numFmtId="0" fontId="1" fillId="0" borderId="2" xfId="0" applyFont="1" applyBorder="1" applyAlignment="1">
      <alignment horizontal="center" vertical="center"/>
    </xf>
    <xf numFmtId="2" fontId="4" fillId="0" borderId="6" xfId="0" applyNumberFormat="1" applyFont="1" applyBorder="1" applyAlignment="1"/>
    <xf numFmtId="0" fontId="3" fillId="0" borderId="6" xfId="0" applyFont="1" applyBorder="1" applyAlignment="1"/>
    <xf numFmtId="2" fontId="3" fillId="0" borderId="6" xfId="0" applyNumberFormat="1" applyFont="1" applyBorder="1" applyAlignment="1"/>
    <xf numFmtId="44" fontId="3" fillId="0" borderId="6" xfId="0" applyNumberFormat="1" applyFont="1" applyBorder="1" applyAlignment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NumberFormat="1" applyFont="1" applyAlignment="1"/>
    <xf numFmtId="14" fontId="4" fillId="0" borderId="0" xfId="0" applyNumberFormat="1" applyFont="1" applyAlignment="1"/>
    <xf numFmtId="166" fontId="4" fillId="0" borderId="0" xfId="0" applyNumberFormat="1" applyFont="1" applyAlignment="1"/>
    <xf numFmtId="0" fontId="0" fillId="2" borderId="0" xfId="0" applyFill="1" applyAlignment="1"/>
    <xf numFmtId="2" fontId="0" fillId="2" borderId="0" xfId="0" applyNumberFormat="1" applyFont="1" applyFill="1" applyAlignment="1"/>
    <xf numFmtId="0" fontId="0" fillId="2" borderId="0" xfId="0" applyFill="1" applyBorder="1" applyAlignment="1"/>
    <xf numFmtId="44" fontId="0" fillId="2" borderId="0" xfId="0" applyNumberFormat="1" applyFont="1" applyFill="1" applyAlignment="1"/>
    <xf numFmtId="39" fontId="0" fillId="2" borderId="0" xfId="0" applyNumberFormat="1" applyFont="1" applyFill="1" applyAlignment="1"/>
    <xf numFmtId="0" fontId="0" fillId="3" borderId="0" xfId="0" applyFont="1" applyFill="1" applyAlignment="1"/>
    <xf numFmtId="0" fontId="0" fillId="0" borderId="7" xfId="0" applyFont="1" applyBorder="1" applyAlignment="1"/>
    <xf numFmtId="0" fontId="0" fillId="0" borderId="0" xfId="0" applyFont="1" applyBorder="1" applyAlignment="1"/>
    <xf numFmtId="0" fontId="1" fillId="0" borderId="0" xfId="0" applyNumberFormat="1" applyFont="1" applyBorder="1" applyAlignment="1"/>
    <xf numFmtId="14" fontId="0" fillId="0" borderId="0" xfId="0" applyNumberFormat="1" applyFont="1" applyBorder="1" applyAlignment="1"/>
    <xf numFmtId="166" fontId="0" fillId="0" borderId="0" xfId="0" applyNumberFormat="1" applyFont="1" applyBorder="1" applyAlignment="1"/>
    <xf numFmtId="0" fontId="0" fillId="0" borderId="8" xfId="0" applyFont="1" applyBorder="1" applyAlignment="1"/>
    <xf numFmtId="0" fontId="2" fillId="0" borderId="9" xfId="0" applyFont="1" applyBorder="1"/>
    <xf numFmtId="0" fontId="0" fillId="0" borderId="6" xfId="0" applyFont="1" applyBorder="1" applyAlignment="1"/>
    <xf numFmtId="44" fontId="0" fillId="0" borderId="0" xfId="0" applyNumberFormat="1" applyFont="1" applyAlignment="1"/>
    <xf numFmtId="0" fontId="8" fillId="0" borderId="0" xfId="0" applyFont="1" applyAlignment="1"/>
    <xf numFmtId="0" fontId="0" fillId="4" borderId="0" xfId="0" applyFill="1" applyAlignment="1">
      <alignment horizontal="center"/>
    </xf>
    <xf numFmtId="166" fontId="0" fillId="4" borderId="0" xfId="0" applyNumberFormat="1" applyFill="1"/>
    <xf numFmtId="0" fontId="0" fillId="4" borderId="0" xfId="0" applyFill="1"/>
    <xf numFmtId="0" fontId="0" fillId="0" borderId="0" xfId="0"/>
    <xf numFmtId="166" fontId="0" fillId="0" borderId="0" xfId="0" applyNumberFormat="1"/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6" xfId="0" applyFont="1" applyBorder="1" applyAlignment="1"/>
    <xf numFmtId="2" fontId="1" fillId="0" borderId="6" xfId="0" applyNumberFormat="1" applyFont="1" applyBorder="1" applyAlignment="1"/>
    <xf numFmtId="44" fontId="1" fillId="0" borderId="6" xfId="1" applyFont="1" applyBorder="1" applyAlignment="1"/>
    <xf numFmtId="44" fontId="1" fillId="0" borderId="6" xfId="0" applyNumberFormat="1" applyFont="1" applyBorder="1" applyAlignment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3" borderId="6" xfId="0" applyFont="1" applyFill="1" applyBorder="1" applyAlignment="1"/>
    <xf numFmtId="0" fontId="1" fillId="3" borderId="6" xfId="0" applyNumberFormat="1" applyFont="1" applyFill="1" applyBorder="1" applyAlignment="1"/>
    <xf numFmtId="0" fontId="7" fillId="0" borderId="0" xfId="0" applyFont="1" applyAlignment="1">
      <alignment vertical="center"/>
    </xf>
    <xf numFmtId="0" fontId="7" fillId="3" borderId="6" xfId="0" applyNumberFormat="1" applyFont="1" applyFill="1" applyBorder="1" applyAlignment="1"/>
    <xf numFmtId="0" fontId="1" fillId="3" borderId="6" xfId="0" applyFont="1" applyFill="1" applyBorder="1" applyAlignment="1"/>
    <xf numFmtId="2" fontId="0" fillId="3" borderId="0" xfId="0" applyNumberFormat="1" applyFont="1" applyFill="1" applyAlignment="1"/>
    <xf numFmtId="0" fontId="11" fillId="3" borderId="0" xfId="0" applyFont="1" applyFill="1" applyAlignment="1"/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4" fontId="10" fillId="0" borderId="1" xfId="0" applyNumberFormat="1" applyFont="1" applyBorder="1" applyAlignment="1"/>
    <xf numFmtId="0" fontId="4" fillId="3" borderId="14" xfId="0" applyFont="1" applyFill="1" applyBorder="1" applyAlignment="1">
      <alignment horizontal="center"/>
    </xf>
    <xf numFmtId="44" fontId="1" fillId="3" borderId="6" xfId="0" applyNumberFormat="1" applyFont="1" applyFill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4" xfId="0" applyFont="1" applyBorder="1" applyAlignment="1"/>
    <xf numFmtId="0" fontId="7" fillId="0" borderId="6" xfId="0" applyFont="1" applyBorder="1" applyAlignment="1"/>
    <xf numFmtId="16" fontId="12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7" fontId="12" fillId="0" borderId="6" xfId="0" applyNumberFormat="1" applyFont="1" applyBorder="1"/>
    <xf numFmtId="0" fontId="14" fillId="0" borderId="6" xfId="0" applyFont="1" applyBorder="1" applyAlignment="1">
      <alignment horizontal="center"/>
    </xf>
    <xf numFmtId="0" fontId="7" fillId="5" borderId="0" xfId="0" applyFont="1" applyFill="1" applyBorder="1" applyAlignment="1"/>
    <xf numFmtId="2" fontId="0" fillId="5" borderId="0" xfId="0" applyNumberFormat="1" applyFont="1" applyFill="1" applyAlignment="1"/>
    <xf numFmtId="0" fontId="0" fillId="5" borderId="0" xfId="0" applyFont="1" applyFill="1" applyAlignment="1"/>
    <xf numFmtId="0" fontId="8" fillId="5" borderId="0" xfId="0" applyFont="1" applyFill="1" applyAlignment="1"/>
    <xf numFmtId="44" fontId="0" fillId="5" borderId="0" xfId="0" applyNumberFormat="1" applyFont="1" applyFill="1" applyAlignment="1"/>
    <xf numFmtId="0" fontId="8" fillId="5" borderId="0" xfId="0" applyFont="1" applyFill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6" fillId="6" borderId="0" xfId="0" applyFont="1" applyFill="1" applyBorder="1"/>
    <xf numFmtId="0" fontId="6" fillId="6" borderId="1" xfId="0" applyFont="1" applyFill="1" applyBorder="1"/>
    <xf numFmtId="0" fontId="9" fillId="7" borderId="3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0" borderId="15" xfId="0" applyFont="1" applyBorder="1"/>
    <xf numFmtId="0" fontId="12" fillId="0" borderId="16" xfId="0" applyFont="1" applyBorder="1"/>
    <xf numFmtId="167" fontId="12" fillId="0" borderId="16" xfId="0" applyNumberFormat="1" applyFont="1" applyBorder="1"/>
    <xf numFmtId="0" fontId="12" fillId="0" borderId="17" xfId="0" applyFont="1" applyBorder="1"/>
    <xf numFmtId="0" fontId="12" fillId="0" borderId="18" xfId="0" applyFont="1" applyBorder="1"/>
    <xf numFmtId="167" fontId="12" fillId="0" borderId="18" xfId="0" applyNumberFormat="1" applyFont="1" applyBorder="1"/>
    <xf numFmtId="16" fontId="12" fillId="0" borderId="19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7" fontId="12" fillId="0" borderId="19" xfId="0" applyNumberFormat="1" applyFont="1" applyBorder="1"/>
    <xf numFmtId="6" fontId="0" fillId="0" borderId="0" xfId="0" applyNumberFormat="1" applyFont="1" applyAlignment="1"/>
    <xf numFmtId="0" fontId="8" fillId="0" borderId="0" xfId="0" applyFont="1" applyBorder="1" applyAlignment="1">
      <alignment horizontal="center"/>
    </xf>
    <xf numFmtId="0" fontId="0" fillId="8" borderId="0" xfId="0" applyFont="1" applyFill="1" applyAlignment="1"/>
    <xf numFmtId="0" fontId="9" fillId="8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7" fontId="15" fillId="0" borderId="0" xfId="0" applyNumberFormat="1" applyFont="1" applyAlignment="1"/>
    <xf numFmtId="0" fontId="0" fillId="3" borderId="6" xfId="0" applyFill="1" applyBorder="1" applyAlignment="1"/>
    <xf numFmtId="2" fontId="1" fillId="3" borderId="6" xfId="0" applyNumberFormat="1" applyFont="1" applyFill="1" applyBorder="1" applyAlignment="1"/>
    <xf numFmtId="44" fontId="1" fillId="3" borderId="6" xfId="1" applyFont="1" applyFill="1" applyBorder="1" applyAlignment="1"/>
    <xf numFmtId="44" fontId="0" fillId="3" borderId="6" xfId="1" applyFont="1" applyFill="1" applyBorder="1" applyAlignment="1"/>
    <xf numFmtId="0" fontId="3" fillId="3" borderId="6" xfId="0" applyFont="1" applyFill="1" applyBorder="1" applyAlignment="1"/>
    <xf numFmtId="2" fontId="3" fillId="3" borderId="6" xfId="0" applyNumberFormat="1" applyFont="1" applyFill="1" applyBorder="1" applyAlignment="1"/>
    <xf numFmtId="44" fontId="3" fillId="3" borderId="6" xfId="0" applyNumberFormat="1" applyFont="1" applyFill="1" applyBorder="1" applyAlignment="1"/>
    <xf numFmtId="2" fontId="4" fillId="3" borderId="6" xfId="0" applyNumberFormat="1" applyFont="1" applyFill="1" applyBorder="1" applyAlignment="1"/>
    <xf numFmtId="44" fontId="4" fillId="3" borderId="6" xfId="1" applyFont="1" applyFill="1" applyBorder="1" applyAlignment="1"/>
    <xf numFmtId="0" fontId="9" fillId="7" borderId="2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9" fillId="8" borderId="20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22" xfId="0" applyFont="1" applyBorder="1"/>
    <xf numFmtId="0" fontId="4" fillId="3" borderId="6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4" fillId="11" borderId="23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6" fillId="6" borderId="26" xfId="0" applyFont="1" applyFill="1" applyBorder="1"/>
    <xf numFmtId="0" fontId="6" fillId="6" borderId="2" xfId="0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17"/>
  <sheetViews>
    <sheetView tabSelected="1" workbookViewId="0">
      <selection activeCell="F80" sqref="F80"/>
    </sheetView>
  </sheetViews>
  <sheetFormatPr baseColWidth="10" defaultColWidth="14.42578125" defaultRowHeight="15" customHeight="1"/>
  <cols>
    <col min="1" max="1" width="23.42578125" customWidth="1"/>
    <col min="2" max="2" width="13.42578125" customWidth="1"/>
    <col min="3" max="3" width="14.85546875" customWidth="1"/>
    <col min="4" max="4" width="13.42578125" customWidth="1"/>
    <col min="5" max="5" width="11.5703125" customWidth="1"/>
    <col min="6" max="6" width="12.42578125" customWidth="1"/>
    <col min="7" max="7" width="18.42578125" customWidth="1"/>
    <col min="8" max="8" width="14" customWidth="1"/>
    <col min="9" max="28" width="10" customWidth="1"/>
  </cols>
  <sheetData>
    <row r="1" spans="1:28" ht="15" customHeight="1">
      <c r="A1" s="127" t="s">
        <v>70</v>
      </c>
      <c r="B1" s="128"/>
      <c r="C1" s="128"/>
      <c r="D1" s="128"/>
      <c r="E1" s="128"/>
      <c r="F1" s="128"/>
    </row>
    <row r="3" spans="1:28" ht="12.75" customHeight="1">
      <c r="F3" s="16"/>
    </row>
    <row r="4" spans="1:28" ht="12.75" customHeight="1">
      <c r="A4" s="137" t="s">
        <v>15</v>
      </c>
      <c r="B4" s="137"/>
      <c r="C4" s="137"/>
      <c r="D4" s="137"/>
      <c r="E4" s="105"/>
      <c r="F4" s="17"/>
    </row>
    <row r="5" spans="1:28" ht="15.75" customHeight="1">
      <c r="A5" s="10"/>
      <c r="B5" s="22"/>
      <c r="C5" s="11" t="s">
        <v>13</v>
      </c>
      <c r="D5" s="12" t="s">
        <v>14</v>
      </c>
      <c r="E5" s="12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>
      <c r="A6" s="52" t="s">
        <v>0</v>
      </c>
      <c r="B6" s="52"/>
      <c r="C6" s="56">
        <v>1984</v>
      </c>
      <c r="D6" s="55">
        <v>350</v>
      </c>
      <c r="E6" s="70"/>
      <c r="F6" s="14"/>
    </row>
    <row r="7" spans="1:28" ht="12.75" customHeight="1">
      <c r="A7" s="52" t="s">
        <v>1</v>
      </c>
      <c r="B7" s="52"/>
      <c r="C7" s="56">
        <v>1993</v>
      </c>
      <c r="D7" s="55">
        <v>300</v>
      </c>
      <c r="E7" s="70"/>
      <c r="F7" s="14"/>
    </row>
    <row r="8" spans="1:28" ht="12.75" customHeight="1">
      <c r="A8" s="52" t="s">
        <v>12</v>
      </c>
      <c r="B8" s="52"/>
      <c r="C8" s="56">
        <v>2005</v>
      </c>
      <c r="D8" s="55">
        <v>325</v>
      </c>
      <c r="E8" s="70"/>
      <c r="F8" s="14"/>
    </row>
    <row r="9" spans="1:28" ht="12.75" customHeight="1">
      <c r="A9" s="52" t="s">
        <v>2</v>
      </c>
      <c r="B9" s="52"/>
      <c r="C9" s="56">
        <v>2017</v>
      </c>
      <c r="D9" s="55">
        <v>235</v>
      </c>
      <c r="E9" s="70"/>
      <c r="F9" s="14"/>
    </row>
    <row r="10" spans="1:28" ht="12.75" customHeight="1">
      <c r="A10" s="52" t="s">
        <v>3</v>
      </c>
      <c r="B10" s="52"/>
      <c r="C10" s="56">
        <v>2019</v>
      </c>
      <c r="D10" s="55">
        <v>200</v>
      </c>
      <c r="E10" s="70"/>
      <c r="F10" s="15"/>
    </row>
    <row r="11" spans="1:28" ht="12.75" customHeight="1"/>
    <row r="12" spans="1:28" ht="12.75" customHeight="1"/>
    <row r="13" spans="1:28" ht="12.75" customHeight="1">
      <c r="A13" s="138" t="s">
        <v>25</v>
      </c>
      <c r="B13" s="139"/>
      <c r="C13" s="139"/>
      <c r="D13" s="139"/>
      <c r="E13" s="139"/>
      <c r="F13" s="139"/>
      <c r="G13" s="140"/>
    </row>
    <row r="14" spans="1:28" ht="12.75" customHeight="1">
      <c r="A14" s="40"/>
      <c r="B14" s="40"/>
      <c r="C14" s="40"/>
      <c r="D14" s="40"/>
      <c r="E14" s="40"/>
      <c r="F14" s="40"/>
      <c r="G14" s="40"/>
    </row>
    <row r="15" spans="1:28" ht="21" customHeight="1">
      <c r="A15" s="141" t="s">
        <v>16</v>
      </c>
      <c r="B15" s="142"/>
      <c r="C15" s="143"/>
      <c r="D15" s="144"/>
      <c r="E15" s="11"/>
      <c r="F15" s="119" t="s">
        <v>4</v>
      </c>
      <c r="G15" s="12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1" customHeight="1">
      <c r="A16" s="88"/>
      <c r="B16" s="89"/>
      <c r="C16" s="90"/>
      <c r="D16" s="91"/>
      <c r="E16" s="11"/>
      <c r="F16" s="92" t="s">
        <v>69</v>
      </c>
      <c r="G16" s="9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0" customHeight="1">
      <c r="A17" s="48"/>
      <c r="B17" s="49" t="s">
        <v>20</v>
      </c>
      <c r="C17" s="50" t="s">
        <v>5</v>
      </c>
      <c r="D17" s="50" t="s">
        <v>6</v>
      </c>
      <c r="E17" s="49" t="s">
        <v>20</v>
      </c>
      <c r="F17" s="50" t="s">
        <v>5</v>
      </c>
      <c r="G17" s="51" t="s">
        <v>6</v>
      </c>
      <c r="H17" s="6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52" t="s">
        <v>7</v>
      </c>
      <c r="B18" s="65">
        <v>11044</v>
      </c>
      <c r="C18" s="53">
        <v>50.92</v>
      </c>
      <c r="D18" s="54">
        <v>11830</v>
      </c>
      <c r="E18" s="62">
        <v>11041</v>
      </c>
      <c r="F18" s="53">
        <v>68.25</v>
      </c>
      <c r="G18" s="55">
        <v>20215</v>
      </c>
      <c r="H18" s="67"/>
    </row>
    <row r="19" spans="1:28" ht="12.75" customHeight="1">
      <c r="A19" s="52" t="s">
        <v>8</v>
      </c>
      <c r="B19" s="65">
        <v>11058</v>
      </c>
      <c r="C19" s="53">
        <v>3</v>
      </c>
      <c r="D19" s="54">
        <v>715</v>
      </c>
      <c r="E19" s="62">
        <v>11057</v>
      </c>
      <c r="F19" s="53">
        <v>76.42</v>
      </c>
      <c r="G19" s="55">
        <v>19671.25</v>
      </c>
      <c r="H19" s="4"/>
    </row>
    <row r="20" spans="1:28" ht="12.75" customHeight="1">
      <c r="A20" s="52" t="s">
        <v>9</v>
      </c>
      <c r="B20" s="65">
        <v>11124</v>
      </c>
      <c r="C20" s="53">
        <v>16.670000000000002</v>
      </c>
      <c r="D20" s="54">
        <v>4785.41</v>
      </c>
      <c r="E20" s="62">
        <v>11123</v>
      </c>
      <c r="F20" s="53">
        <v>70.67</v>
      </c>
      <c r="G20" s="55">
        <v>19740.400000000001</v>
      </c>
      <c r="H20" s="4"/>
    </row>
    <row r="21" spans="1:28" ht="12.75" customHeight="1">
      <c r="A21" s="52" t="s">
        <v>10</v>
      </c>
      <c r="B21" s="65">
        <v>11204</v>
      </c>
      <c r="C21" s="53">
        <v>75</v>
      </c>
      <c r="D21" s="54">
        <v>17099</v>
      </c>
      <c r="E21" s="62">
        <v>11206</v>
      </c>
      <c r="F21" s="53">
        <v>118.34</v>
      </c>
      <c r="G21" s="55">
        <v>33949.99</v>
      </c>
      <c r="H21" s="4"/>
    </row>
    <row r="22" spans="1:28" ht="12.75" customHeight="1">
      <c r="A22" s="52" t="s">
        <v>11</v>
      </c>
      <c r="B22" s="65">
        <v>11238</v>
      </c>
      <c r="C22" s="53">
        <v>59.5</v>
      </c>
      <c r="D22" s="54">
        <v>16700</v>
      </c>
      <c r="E22" s="62">
        <v>11239</v>
      </c>
      <c r="F22" s="53">
        <v>0.5</v>
      </c>
      <c r="G22" s="55">
        <v>100</v>
      </c>
      <c r="H22" s="4"/>
    </row>
    <row r="23" spans="1:28" ht="12.75" customHeight="1">
      <c r="A23" s="52" t="s">
        <v>26</v>
      </c>
      <c r="B23" s="65"/>
      <c r="C23" s="53"/>
      <c r="D23" s="54"/>
      <c r="E23" s="62">
        <v>11371</v>
      </c>
      <c r="F23" s="53">
        <v>11</v>
      </c>
      <c r="G23" s="55">
        <v>3272.5</v>
      </c>
      <c r="H23" s="4"/>
    </row>
    <row r="24" spans="1:28" ht="12.75" customHeight="1">
      <c r="A24" s="52" t="s">
        <v>37</v>
      </c>
      <c r="B24" s="65">
        <v>11695</v>
      </c>
      <c r="C24" s="53">
        <v>11</v>
      </c>
      <c r="D24" s="54">
        <v>3575</v>
      </c>
      <c r="E24" s="62">
        <v>11802</v>
      </c>
      <c r="F24" s="53">
        <v>0.45</v>
      </c>
      <c r="G24" s="55">
        <v>167.5</v>
      </c>
      <c r="H24" s="4"/>
    </row>
    <row r="25" spans="1:28" ht="12.75" customHeight="1">
      <c r="A25" s="52" t="s">
        <v>36</v>
      </c>
      <c r="B25" s="65">
        <v>11636</v>
      </c>
      <c r="C25" s="53">
        <v>0.5</v>
      </c>
      <c r="D25" s="54">
        <v>117.5</v>
      </c>
      <c r="E25" s="62">
        <v>11916</v>
      </c>
      <c r="F25" s="53">
        <v>0.2</v>
      </c>
      <c r="G25" s="55">
        <v>65</v>
      </c>
      <c r="H25" s="4"/>
    </row>
    <row r="26" spans="1:28" ht="12.75" customHeight="1">
      <c r="A26" s="52" t="s">
        <v>34</v>
      </c>
      <c r="B26" s="65">
        <v>11915</v>
      </c>
      <c r="C26" s="53">
        <v>83.79</v>
      </c>
      <c r="D26" s="54">
        <v>22999.5</v>
      </c>
      <c r="E26" s="62"/>
      <c r="F26" s="53"/>
      <c r="G26" s="55"/>
      <c r="H26" s="4"/>
    </row>
    <row r="27" spans="1:28" ht="12.75" customHeight="1">
      <c r="A27" s="52" t="s">
        <v>35</v>
      </c>
      <c r="B27" s="65">
        <v>12022</v>
      </c>
      <c r="C27" s="53">
        <v>181.07</v>
      </c>
      <c r="D27" s="54">
        <v>51870.15</v>
      </c>
      <c r="E27" s="62"/>
      <c r="F27" s="53"/>
      <c r="G27" s="55"/>
      <c r="H27" s="4"/>
    </row>
    <row r="28" spans="1:28" ht="12.75" customHeight="1">
      <c r="A28" s="52" t="s">
        <v>33</v>
      </c>
      <c r="B28" s="52">
        <v>12275</v>
      </c>
      <c r="C28" s="53">
        <v>18.559999999999999</v>
      </c>
      <c r="D28" s="54">
        <v>5500.7</v>
      </c>
      <c r="E28" s="62">
        <v>11653</v>
      </c>
      <c r="F28" s="53">
        <v>16.41</v>
      </c>
      <c r="G28" s="55">
        <v>4422.92</v>
      </c>
      <c r="H28" s="4"/>
    </row>
    <row r="29" spans="1:28" ht="12.75" customHeight="1">
      <c r="A29" s="52" t="s">
        <v>38</v>
      </c>
      <c r="B29" s="52">
        <v>12425</v>
      </c>
      <c r="C29" s="53">
        <v>26.9</v>
      </c>
      <c r="D29" s="54">
        <v>7850</v>
      </c>
      <c r="E29" s="62"/>
      <c r="F29" s="53"/>
      <c r="G29" s="55"/>
      <c r="H29" s="4" t="s">
        <v>39</v>
      </c>
      <c r="I29" t="s">
        <v>40</v>
      </c>
    </row>
    <row r="30" spans="1:28" ht="12.75" customHeight="1">
      <c r="A30" s="19" t="s">
        <v>17</v>
      </c>
      <c r="B30" s="19"/>
      <c r="C30" s="20">
        <f>SUM(C18:C29)</f>
        <v>526.91</v>
      </c>
      <c r="D30" s="21">
        <f>SUM(D18:D29)</f>
        <v>143042.26</v>
      </c>
      <c r="E30" s="21"/>
      <c r="F30" s="18">
        <f>SUM(F18:F28)</f>
        <v>362.24000000000007</v>
      </c>
      <c r="G30" s="21">
        <f>SUM(G18:G28)</f>
        <v>101604.56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2.75" customHeight="1"/>
    <row r="32" spans="1:28" ht="12.75" customHeight="1">
      <c r="A32" s="27" t="s">
        <v>18</v>
      </c>
      <c r="B32" s="27"/>
      <c r="C32" s="31">
        <f>C30+F30</f>
        <v>889.15000000000009</v>
      </c>
      <c r="G32" s="6"/>
    </row>
    <row r="33" spans="1:12" ht="12.75" customHeight="1">
      <c r="A33" s="29" t="s">
        <v>19</v>
      </c>
      <c r="B33" s="29"/>
      <c r="C33" s="30">
        <f>D30+G30</f>
        <v>244646.82</v>
      </c>
      <c r="D33" s="41"/>
      <c r="G33" s="6"/>
    </row>
    <row r="34" spans="1:12" ht="12.75" customHeight="1">
      <c r="A34" s="29"/>
      <c r="B34" s="29"/>
      <c r="C34" s="30"/>
      <c r="G34" s="6"/>
      <c r="H34" s="41"/>
    </row>
    <row r="35" spans="1:12" s="46" customFormat="1" ht="12.75">
      <c r="A35" s="43" t="s">
        <v>30</v>
      </c>
      <c r="B35" s="44"/>
      <c r="C35" s="44"/>
      <c r="D35" s="44">
        <v>4305.3999999999996</v>
      </c>
      <c r="E35" s="45">
        <v>15.76</v>
      </c>
      <c r="H35" s="47"/>
    </row>
    <row r="36" spans="1:12" ht="12.75" customHeight="1">
      <c r="G36" s="6"/>
    </row>
    <row r="37" spans="1:12" ht="12.75" customHeight="1">
      <c r="A37" s="129" t="s">
        <v>4</v>
      </c>
      <c r="B37" s="130"/>
      <c r="C37" s="106"/>
      <c r="D37" s="106"/>
      <c r="G37" s="6"/>
    </row>
    <row r="38" spans="1:12" ht="12.75" customHeight="1">
      <c r="A38" s="107" t="s">
        <v>69</v>
      </c>
      <c r="B38" s="108"/>
      <c r="C38" s="106"/>
      <c r="D38" s="106"/>
      <c r="F38" s="16"/>
      <c r="G38" s="6"/>
    </row>
    <row r="39" spans="1:12" ht="12.75" customHeight="1">
      <c r="A39" s="121" t="s">
        <v>41</v>
      </c>
      <c r="B39" s="121"/>
      <c r="C39" s="121"/>
      <c r="D39" s="121"/>
      <c r="E39" s="23"/>
      <c r="F39" s="17"/>
      <c r="G39" s="6"/>
    </row>
    <row r="40" spans="1:12" ht="12.75" customHeight="1">
      <c r="A40" s="10"/>
      <c r="B40" s="22"/>
      <c r="C40" s="11" t="s">
        <v>13</v>
      </c>
      <c r="D40" s="12" t="s">
        <v>14</v>
      </c>
      <c r="E40" s="12"/>
      <c r="F40" s="13"/>
      <c r="G40" s="6"/>
    </row>
    <row r="41" spans="1:12" ht="12.75" customHeight="1">
      <c r="A41" s="52" t="s">
        <v>42</v>
      </c>
      <c r="B41" s="52"/>
      <c r="C41" s="56">
        <v>1991</v>
      </c>
      <c r="D41" s="55">
        <v>285</v>
      </c>
      <c r="E41" s="2"/>
      <c r="F41" s="14"/>
      <c r="G41" s="6"/>
    </row>
    <row r="42" spans="1:12" ht="12.75" customHeight="1">
      <c r="A42" s="52" t="s">
        <v>43</v>
      </c>
      <c r="B42" s="52"/>
      <c r="C42" s="56">
        <v>2008</v>
      </c>
      <c r="D42" s="55">
        <v>250</v>
      </c>
      <c r="E42" s="2"/>
      <c r="F42" s="14"/>
      <c r="G42" s="8"/>
    </row>
    <row r="43" spans="1:12" ht="12.75" customHeight="1">
      <c r="A43" s="52" t="s">
        <v>44</v>
      </c>
      <c r="B43" s="52"/>
      <c r="C43" s="56">
        <v>2013</v>
      </c>
      <c r="D43" s="55">
        <v>200</v>
      </c>
      <c r="E43" s="2"/>
      <c r="F43" s="14"/>
      <c r="G43" s="71"/>
    </row>
    <row r="44" spans="1:12" ht="12.75" customHeight="1">
      <c r="A44" s="52" t="s">
        <v>45</v>
      </c>
      <c r="B44" s="52"/>
      <c r="C44" s="56">
        <v>1994</v>
      </c>
      <c r="D44" s="55">
        <v>285</v>
      </c>
      <c r="E44" s="2"/>
      <c r="F44" s="14"/>
      <c r="G44" s="38"/>
    </row>
    <row r="45" spans="1:12" ht="12.75" customHeight="1">
      <c r="A45" s="52" t="s">
        <v>46</v>
      </c>
      <c r="B45" s="52"/>
      <c r="C45" s="56">
        <v>2016</v>
      </c>
      <c r="D45" s="55">
        <v>150</v>
      </c>
      <c r="E45" s="3"/>
      <c r="F45" s="15"/>
      <c r="G45" s="69"/>
      <c r="L45" s="32"/>
    </row>
    <row r="46" spans="1:12" ht="26.1" customHeight="1">
      <c r="G46" s="60"/>
    </row>
    <row r="47" spans="1:12" s="32" customFormat="1" ht="12.75" customHeight="1">
      <c r="A47"/>
      <c r="B47"/>
      <c r="C47"/>
      <c r="D47"/>
      <c r="E47"/>
      <c r="F47"/>
      <c r="G47" s="61"/>
    </row>
    <row r="48" spans="1:12" ht="12.75" customHeight="1">
      <c r="A48" s="9"/>
      <c r="B48" s="9"/>
      <c r="C48" s="6"/>
      <c r="G48" s="40"/>
    </row>
    <row r="49" spans="1:10" ht="12.75" customHeight="1">
      <c r="C49" s="6"/>
      <c r="F49" s="7"/>
      <c r="G49" s="55"/>
    </row>
    <row r="50" spans="1:10" ht="12.75" customHeight="1">
      <c r="C50" s="24"/>
      <c r="D50" s="25"/>
      <c r="E50" s="26"/>
      <c r="G50" s="55"/>
      <c r="J50" s="32"/>
    </row>
    <row r="51" spans="1:10" ht="12.75" customHeight="1">
      <c r="A51" s="122" t="s">
        <v>24</v>
      </c>
      <c r="B51" s="123"/>
      <c r="C51" s="123"/>
      <c r="D51" s="123"/>
      <c r="E51" s="123"/>
      <c r="F51" s="124"/>
      <c r="G51" s="55"/>
      <c r="J51" s="32"/>
    </row>
    <row r="52" spans="1:10" ht="12.75" customHeight="1">
      <c r="A52" s="33"/>
      <c r="B52" s="34"/>
      <c r="C52" s="35"/>
      <c r="D52" s="36"/>
      <c r="E52" s="37"/>
      <c r="F52" s="34"/>
      <c r="G52" s="72"/>
    </row>
    <row r="53" spans="1:10" ht="12.75" customHeight="1">
      <c r="A53" s="132"/>
      <c r="B53" s="133"/>
      <c r="C53" s="134"/>
      <c r="D53" s="135"/>
      <c r="E53" s="39"/>
      <c r="F53" s="68"/>
      <c r="G53" s="55"/>
    </row>
    <row r="54" spans="1:10" ht="12.75" customHeight="1">
      <c r="A54" s="57"/>
      <c r="B54" s="58" t="s">
        <v>20</v>
      </c>
      <c r="C54" s="59" t="s">
        <v>5</v>
      </c>
      <c r="D54" s="13" t="s">
        <v>6</v>
      </c>
      <c r="E54" s="58"/>
      <c r="F54" s="13"/>
      <c r="G54" s="55"/>
    </row>
    <row r="55" spans="1:10" ht="12.75" customHeight="1">
      <c r="A55" s="110" t="s">
        <v>21</v>
      </c>
      <c r="B55" s="61">
        <v>165051</v>
      </c>
      <c r="C55" s="111">
        <v>164.81</v>
      </c>
      <c r="D55" s="112">
        <v>45637.45</v>
      </c>
      <c r="E55" s="61"/>
      <c r="F55" s="61" t="s">
        <v>31</v>
      </c>
      <c r="G55" s="21"/>
    </row>
    <row r="56" spans="1:10" ht="12.75" customHeight="1">
      <c r="A56" s="65" t="s">
        <v>22</v>
      </c>
      <c r="B56" s="65">
        <v>165748</v>
      </c>
      <c r="C56" s="111">
        <v>38.340000000000003</v>
      </c>
      <c r="D56" s="112">
        <v>10896.9</v>
      </c>
      <c r="E56" s="61"/>
      <c r="F56" s="61" t="s">
        <v>31</v>
      </c>
    </row>
    <row r="57" spans="1:10" ht="12.75" customHeight="1">
      <c r="A57" s="65" t="s">
        <v>27</v>
      </c>
      <c r="B57" s="61">
        <v>163470</v>
      </c>
      <c r="C57" s="61">
        <v>76.5</v>
      </c>
      <c r="D57" s="113">
        <v>21318.05</v>
      </c>
      <c r="E57" s="62"/>
      <c r="F57" s="111" t="s">
        <v>32</v>
      </c>
    </row>
    <row r="58" spans="1:10" ht="12.75" customHeight="1">
      <c r="A58" s="65" t="s">
        <v>21</v>
      </c>
      <c r="B58" s="62">
        <v>165050</v>
      </c>
      <c r="C58" s="111">
        <v>36.75</v>
      </c>
      <c r="D58" s="72">
        <v>10452.15</v>
      </c>
      <c r="E58" s="62"/>
      <c r="F58" s="111" t="s">
        <v>32</v>
      </c>
    </row>
    <row r="59" spans="1:10" ht="12.75" customHeight="1">
      <c r="A59" s="65" t="s">
        <v>29</v>
      </c>
      <c r="B59" s="62">
        <v>166512</v>
      </c>
      <c r="C59" s="111">
        <v>79.41</v>
      </c>
      <c r="D59" s="72">
        <v>21391.45</v>
      </c>
      <c r="E59" s="64"/>
      <c r="F59" s="111" t="s">
        <v>31</v>
      </c>
    </row>
    <row r="60" spans="1:10" ht="12.75" customHeight="1">
      <c r="A60" s="65" t="s">
        <v>28</v>
      </c>
      <c r="B60" s="65">
        <v>173504</v>
      </c>
      <c r="C60" s="111">
        <v>23.57</v>
      </c>
      <c r="D60" s="112">
        <v>5679.7</v>
      </c>
      <c r="E60" s="64"/>
      <c r="F60" s="111" t="s">
        <v>31</v>
      </c>
    </row>
    <row r="61" spans="1:10" ht="12.75" customHeight="1">
      <c r="A61" s="114" t="s">
        <v>17</v>
      </c>
      <c r="B61" s="114"/>
      <c r="C61" s="115">
        <f>SUM(C55:C60)</f>
        <v>419.37999999999994</v>
      </c>
      <c r="D61" s="116">
        <f>SUM(D55:D60)</f>
        <v>115375.69999999998</v>
      </c>
      <c r="E61" s="116"/>
      <c r="F61" s="117"/>
    </row>
    <row r="62" spans="1:10" ht="12.75" customHeight="1">
      <c r="A62" s="136"/>
      <c r="B62" s="136"/>
      <c r="C62" s="136"/>
      <c r="D62" s="136"/>
      <c r="E62" s="32"/>
      <c r="F62" s="32"/>
    </row>
    <row r="63" spans="1:10" ht="12.75" customHeight="1">
      <c r="A63" s="110"/>
      <c r="B63" s="61"/>
      <c r="C63" s="61"/>
      <c r="D63" s="118"/>
      <c r="E63" s="32"/>
      <c r="F63" s="32"/>
    </row>
    <row r="64" spans="1:10" ht="12.75" customHeight="1"/>
    <row r="65" spans="1:6" ht="12.75" customHeight="1">
      <c r="A65" s="27" t="s">
        <v>23</v>
      </c>
      <c r="B65" s="28">
        <f>C61+F61+C63</f>
        <v>419.37999999999994</v>
      </c>
    </row>
    <row r="66" spans="1:6" ht="12.75" customHeight="1">
      <c r="A66" s="29" t="s">
        <v>19</v>
      </c>
      <c r="B66" s="30">
        <f>D61+G55+D63</f>
        <v>115375.69999999998</v>
      </c>
    </row>
    <row r="67" spans="1:6" ht="12.75" customHeight="1"/>
    <row r="68" spans="1:6" ht="12.75" customHeight="1">
      <c r="A68" s="73"/>
      <c r="B68" s="74"/>
      <c r="C68" s="75"/>
    </row>
    <row r="69" spans="1:6" ht="12.75" customHeight="1">
      <c r="A69" s="33"/>
      <c r="B69" s="34"/>
      <c r="C69" s="38"/>
    </row>
    <row r="70" spans="1:6" ht="12.75" customHeight="1">
      <c r="F70" s="16"/>
    </row>
    <row r="71" spans="1:6" ht="12.75" customHeight="1">
      <c r="A71" s="125" t="s">
        <v>51</v>
      </c>
      <c r="B71" s="121"/>
      <c r="C71" s="121"/>
      <c r="D71" s="121"/>
      <c r="E71" s="23"/>
      <c r="F71" s="17"/>
    </row>
    <row r="72" spans="1:6" ht="12.75" customHeight="1">
      <c r="A72" s="10"/>
      <c r="B72" s="22"/>
      <c r="C72" s="11" t="s">
        <v>13</v>
      </c>
      <c r="D72" s="12" t="s">
        <v>14</v>
      </c>
      <c r="E72" s="12"/>
      <c r="F72" s="13"/>
    </row>
    <row r="73" spans="1:6" ht="12.75" customHeight="1">
      <c r="A73" s="52" t="s">
        <v>47</v>
      </c>
      <c r="B73" s="52"/>
      <c r="C73" s="56">
        <v>2001</v>
      </c>
      <c r="D73" s="55">
        <v>285</v>
      </c>
      <c r="E73" s="2"/>
      <c r="F73" s="14"/>
    </row>
    <row r="74" spans="1:6" ht="12.75" customHeight="1">
      <c r="A74" s="52" t="s">
        <v>48</v>
      </c>
      <c r="B74" s="52"/>
      <c r="C74" s="56">
        <v>2000</v>
      </c>
      <c r="D74" s="55">
        <v>285</v>
      </c>
      <c r="E74" s="2"/>
      <c r="F74" s="14"/>
    </row>
    <row r="75" spans="1:6" ht="12.75" customHeight="1">
      <c r="A75" s="52" t="s">
        <v>49</v>
      </c>
      <c r="B75" s="52"/>
      <c r="C75" s="56">
        <v>2016</v>
      </c>
      <c r="D75" s="55">
        <v>150</v>
      </c>
      <c r="E75" s="2"/>
      <c r="F75" s="14"/>
    </row>
    <row r="76" spans="1:6" ht="12.75" customHeight="1">
      <c r="A76" s="76" t="s">
        <v>50</v>
      </c>
      <c r="B76" s="52"/>
      <c r="C76" s="56">
        <v>2019</v>
      </c>
      <c r="D76" s="55">
        <v>150</v>
      </c>
      <c r="E76" s="2"/>
      <c r="F76" s="14"/>
    </row>
    <row r="77" spans="1:6" ht="12.75" customHeight="1">
      <c r="A77" s="131"/>
      <c r="B77" s="131"/>
    </row>
    <row r="78" spans="1:6" ht="12.75" customHeight="1">
      <c r="A78" s="82" t="s">
        <v>66</v>
      </c>
      <c r="B78" s="83"/>
      <c r="C78" s="84"/>
    </row>
    <row r="79" spans="1:6" ht="12.75" customHeight="1">
      <c r="A79" s="82" t="s">
        <v>52</v>
      </c>
      <c r="B79" s="84"/>
      <c r="C79" s="84"/>
    </row>
    <row r="80" spans="1:6" ht="12.75" customHeight="1">
      <c r="A80" s="85" t="s">
        <v>53</v>
      </c>
      <c r="B80" s="86"/>
      <c r="C80" s="84"/>
    </row>
    <row r="81" spans="1:4" ht="12.75" customHeight="1">
      <c r="A81" s="32"/>
      <c r="B81" s="66"/>
    </row>
    <row r="82" spans="1:4" ht="12.75" customHeight="1">
      <c r="C82" s="42" t="s">
        <v>64</v>
      </c>
      <c r="D82" s="42" t="s">
        <v>65</v>
      </c>
    </row>
    <row r="83" spans="1:4" ht="12.75" customHeight="1">
      <c r="A83" s="77" t="s">
        <v>54</v>
      </c>
      <c r="B83" s="78"/>
      <c r="C83" s="79">
        <v>38930</v>
      </c>
      <c r="D83" s="80">
        <v>7310</v>
      </c>
    </row>
    <row r="84" spans="1:4" ht="12.75" customHeight="1">
      <c r="A84" s="77" t="s">
        <v>55</v>
      </c>
      <c r="B84" s="78"/>
      <c r="C84" s="79">
        <v>39206</v>
      </c>
      <c r="D84" s="80">
        <v>142.5</v>
      </c>
    </row>
    <row r="85" spans="1:4" ht="12.75" customHeight="1">
      <c r="A85" s="79" t="s">
        <v>55</v>
      </c>
      <c r="B85" s="78"/>
      <c r="C85" s="79">
        <v>39228</v>
      </c>
      <c r="D85" s="80">
        <v>15095</v>
      </c>
    </row>
    <row r="86" spans="1:4" ht="12.75" customHeight="1">
      <c r="A86" s="77" t="s">
        <v>56</v>
      </c>
      <c r="B86" s="78"/>
      <c r="C86" s="79">
        <v>39565</v>
      </c>
      <c r="D86" s="80">
        <v>228</v>
      </c>
    </row>
    <row r="87" spans="1:4" ht="12.75" customHeight="1">
      <c r="A87" s="77" t="s">
        <v>57</v>
      </c>
      <c r="B87" s="78"/>
      <c r="C87" s="79">
        <v>39793</v>
      </c>
      <c r="D87" s="80">
        <v>114</v>
      </c>
    </row>
    <row r="88" spans="1:4" ht="12.75" customHeight="1">
      <c r="A88" s="77" t="s">
        <v>58</v>
      </c>
      <c r="B88" s="78"/>
      <c r="C88" s="79">
        <v>40126</v>
      </c>
      <c r="D88" s="80">
        <v>1026</v>
      </c>
    </row>
    <row r="89" spans="1:4" ht="12.75" customHeight="1">
      <c r="A89" s="77" t="s">
        <v>58</v>
      </c>
      <c r="B89" s="78"/>
      <c r="C89" s="79">
        <v>40152</v>
      </c>
      <c r="D89" s="80">
        <v>114</v>
      </c>
    </row>
    <row r="90" spans="1:4" ht="12.75" customHeight="1">
      <c r="A90" s="77" t="s">
        <v>28</v>
      </c>
      <c r="B90" s="78"/>
      <c r="C90" s="79">
        <v>40490</v>
      </c>
      <c r="D90" s="80">
        <v>285</v>
      </c>
    </row>
    <row r="91" spans="1:4" ht="12.75" customHeight="1">
      <c r="A91" s="77" t="s">
        <v>28</v>
      </c>
      <c r="B91" s="78"/>
      <c r="C91" s="79">
        <v>40492</v>
      </c>
      <c r="D91" s="80">
        <v>513</v>
      </c>
    </row>
    <row r="92" spans="1:4" ht="12.75" customHeight="1">
      <c r="A92" s="77" t="s">
        <v>59</v>
      </c>
      <c r="B92" s="78"/>
      <c r="C92" s="79">
        <v>40787</v>
      </c>
      <c r="D92" s="80">
        <v>1062</v>
      </c>
    </row>
    <row r="93" spans="1:4" ht="12.75" customHeight="1">
      <c r="A93" s="79" t="s">
        <v>60</v>
      </c>
      <c r="B93" s="78"/>
      <c r="C93" s="79">
        <v>41095</v>
      </c>
      <c r="D93" s="80">
        <v>1735.5039999999999</v>
      </c>
    </row>
    <row r="94" spans="1:4" ht="12.75" customHeight="1">
      <c r="A94" s="79" t="s">
        <v>61</v>
      </c>
      <c r="B94" s="78"/>
      <c r="C94" s="79">
        <v>41413</v>
      </c>
      <c r="D94" s="80">
        <v>4213.5039999999999</v>
      </c>
    </row>
    <row r="95" spans="1:4" ht="12.75" customHeight="1">
      <c r="A95" s="79"/>
      <c r="B95" s="78"/>
      <c r="C95" s="81" t="s">
        <v>62</v>
      </c>
      <c r="D95" s="80">
        <v>147.25</v>
      </c>
    </row>
    <row r="96" spans="1:4" ht="12.75" customHeight="1">
      <c r="A96" s="79"/>
      <c r="B96" s="78"/>
      <c r="C96" s="81" t="s">
        <v>63</v>
      </c>
      <c r="D96" s="80">
        <v>211</v>
      </c>
    </row>
    <row r="97" spans="1:4" ht="12.75" customHeight="1">
      <c r="A97" s="77"/>
      <c r="B97" s="78"/>
      <c r="C97" s="79"/>
      <c r="D97" s="80"/>
    </row>
    <row r="98" spans="1:4" ht="12.75" customHeight="1">
      <c r="A98" s="77"/>
      <c r="B98" s="78"/>
      <c r="C98" s="79"/>
      <c r="D98" s="80"/>
    </row>
    <row r="99" spans="1:4" ht="12.75" customHeight="1">
      <c r="A99" s="79"/>
      <c r="B99" s="78"/>
      <c r="C99" s="79"/>
      <c r="D99" s="80"/>
    </row>
    <row r="100" spans="1:4" ht="12.75" customHeight="1">
      <c r="A100" s="79"/>
      <c r="B100" s="78"/>
      <c r="C100" s="79"/>
      <c r="D100" s="80"/>
    </row>
    <row r="101" spans="1:4" ht="12.75" customHeight="1">
      <c r="A101" s="79"/>
      <c r="B101" s="78"/>
      <c r="C101" s="81"/>
      <c r="D101" s="80"/>
    </row>
    <row r="102" spans="1:4" ht="12.75" customHeight="1">
      <c r="D102" s="109">
        <f>SUM(D83:D101)</f>
        <v>32196.758000000002</v>
      </c>
    </row>
    <row r="103" spans="1:4" ht="12.75" customHeight="1"/>
    <row r="104" spans="1:4" ht="12.75" customHeight="1">
      <c r="A104" s="126" t="s">
        <v>66</v>
      </c>
      <c r="B104" s="126"/>
    </row>
    <row r="105" spans="1:4" ht="12.75" customHeight="1">
      <c r="A105" s="126" t="s">
        <v>67</v>
      </c>
      <c r="B105" s="126"/>
    </row>
    <row r="106" spans="1:4" ht="12.75" customHeight="1">
      <c r="A106" s="87" t="s">
        <v>68</v>
      </c>
      <c r="B106" s="87"/>
    </row>
    <row r="107" spans="1:4" ht="12.75" customHeight="1"/>
    <row r="108" spans="1:4" ht="12.75" customHeight="1">
      <c r="A108" s="77" t="s">
        <v>60</v>
      </c>
      <c r="B108" s="78"/>
      <c r="C108" s="79">
        <v>41097</v>
      </c>
      <c r="D108" s="80">
        <v>315</v>
      </c>
    </row>
    <row r="109" spans="1:4" ht="12.75" customHeight="1"/>
    <row r="110" spans="1:4" ht="12.75" customHeight="1"/>
    <row r="111" spans="1:4" ht="12.75" customHeight="1">
      <c r="A111" s="94"/>
      <c r="B111" s="95"/>
      <c r="C111" s="95"/>
      <c r="D111" s="96"/>
    </row>
    <row r="112" spans="1:4" ht="12.75" customHeight="1">
      <c r="A112" s="97"/>
      <c r="B112" s="98"/>
      <c r="C112" s="98"/>
      <c r="D112" s="99"/>
    </row>
    <row r="113" spans="1:4" ht="12.75" customHeight="1">
      <c r="A113" s="100"/>
      <c r="B113" s="101"/>
      <c r="C113" s="102"/>
      <c r="D113" s="103"/>
    </row>
    <row r="114" spans="1:4" ht="12.75" customHeight="1">
      <c r="B114" s="42"/>
      <c r="C114" s="42"/>
    </row>
    <row r="115" spans="1:4" ht="12.75" customHeight="1">
      <c r="A115" s="42"/>
      <c r="C115" s="104"/>
    </row>
    <row r="116" spans="1:4" ht="12.75" customHeight="1"/>
    <row r="117" spans="1:4" ht="12.75" customHeight="1"/>
    <row r="118" spans="1:4" ht="12.75" customHeight="1"/>
    <row r="119" spans="1:4" ht="12.75" customHeight="1"/>
    <row r="120" spans="1:4" ht="12.75" customHeight="1"/>
    <row r="121" spans="1:4" ht="12.75" customHeight="1">
      <c r="B121" s="41"/>
      <c r="C121" s="41"/>
    </row>
    <row r="122" spans="1:4" ht="12.75" customHeight="1"/>
    <row r="123" spans="1:4" ht="12.75" customHeight="1"/>
    <row r="124" spans="1:4" ht="12.75" customHeight="1"/>
    <row r="125" spans="1:4" ht="12.75" customHeight="1"/>
    <row r="126" spans="1:4" ht="12.75" customHeight="1"/>
    <row r="127" spans="1:4" ht="12.75" customHeight="1"/>
    <row r="128" spans="1:4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</sheetData>
  <mergeCells count="14">
    <mergeCell ref="A1:F1"/>
    <mergeCell ref="A37:B37"/>
    <mergeCell ref="A77:B77"/>
    <mergeCell ref="A53:D53"/>
    <mergeCell ref="A62:D62"/>
    <mergeCell ref="A4:D4"/>
    <mergeCell ref="A13:G13"/>
    <mergeCell ref="A15:D15"/>
    <mergeCell ref="F15:G15"/>
    <mergeCell ref="A39:D39"/>
    <mergeCell ref="A51:F51"/>
    <mergeCell ref="A71:D71"/>
    <mergeCell ref="A104:B104"/>
    <mergeCell ref="A105:B105"/>
  </mergeCells>
  <phoneticPr fontId="0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Montgomery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uguay8z</cp:lastModifiedBy>
  <cp:lastPrinted>2021-06-16T17:59:23Z</cp:lastPrinted>
  <dcterms:created xsi:type="dcterms:W3CDTF">2020-10-06T17:12:11Z</dcterms:created>
  <dcterms:modified xsi:type="dcterms:W3CDTF">2021-09-01T17:28:00Z</dcterms:modified>
</cp:coreProperties>
</file>